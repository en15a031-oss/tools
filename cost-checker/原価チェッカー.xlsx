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46" documentId="11_C19DE434DDFA0BBDC911FA6F233BE3CDC9C8E3AF" xr6:coauthVersionLast="47" xr6:coauthVersionMax="47" xr10:uidLastSave="{8505D5B3-A208-4441-8DF9-08813D985100}"/>
  <bookViews>
    <workbookView xWindow="0" yWindow="0" windowWidth="0" windowHeight="0" xr2:uid="{00000000-000D-0000-FFFF-FFFF00000000}"/>
  </bookViews>
  <sheets>
    <sheet name="原価チェッカー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YZ9ygPBSh40QU+vv4ATyZue61H8Ll4hGslyhzN8p+c="/>
    </ext>
  </extLst>
</workbook>
</file>

<file path=xl/calcChain.xml><?xml version="1.0" encoding="utf-8"?>
<calcChain xmlns="http://schemas.openxmlformats.org/spreadsheetml/2006/main">
  <c r="D21" i="1" l="1"/>
  <c r="K16" i="1"/>
  <c r="J16" i="1"/>
  <c r="G16" i="1"/>
  <c r="F16" i="1"/>
  <c r="K15" i="1"/>
  <c r="J15" i="1"/>
  <c r="G15" i="1"/>
  <c r="F15" i="1"/>
  <c r="K14" i="1"/>
  <c r="J14" i="1"/>
  <c r="G14" i="1"/>
  <c r="F14" i="1"/>
  <c r="K13" i="1"/>
  <c r="J13" i="1"/>
  <c r="G13" i="1"/>
  <c r="F13" i="1"/>
  <c r="K12" i="1"/>
  <c r="J12" i="1"/>
  <c r="G12" i="1"/>
  <c r="F12" i="1"/>
  <c r="K11" i="1"/>
  <c r="J11" i="1"/>
  <c r="G11" i="1"/>
  <c r="F11" i="1"/>
  <c r="K10" i="1"/>
  <c r="J10" i="1"/>
  <c r="G10" i="1"/>
  <c r="F10" i="1"/>
  <c r="K9" i="1"/>
  <c r="J9" i="1"/>
  <c r="G9" i="1"/>
  <c r="F9" i="1"/>
  <c r="F17" i="1" s="1"/>
  <c r="F22" i="1" l="1"/>
  <c r="D22" i="1"/>
  <c r="D20" i="1"/>
  <c r="I9" i="1"/>
  <c r="H9" i="1"/>
  <c r="I10" i="1"/>
  <c r="H10" i="1"/>
  <c r="I11" i="1"/>
  <c r="H11" i="1"/>
  <c r="I12" i="1"/>
  <c r="H12" i="1"/>
  <c r="I13" i="1"/>
  <c r="H13" i="1"/>
  <c r="I14" i="1"/>
  <c r="H14" i="1"/>
  <c r="I15" i="1"/>
  <c r="H15" i="1"/>
  <c r="I16" i="1"/>
  <c r="H16" i="1"/>
  <c r="L16" i="1" l="1"/>
  <c r="L15" i="1"/>
  <c r="L14" i="1"/>
  <c r="L13" i="1"/>
  <c r="L12" i="1"/>
  <c r="L11" i="1"/>
  <c r="L10" i="1"/>
  <c r="H17" i="1"/>
  <c r="M9" i="1"/>
  <c r="L9" i="1"/>
  <c r="N9" i="1" l="1"/>
  <c r="B33" i="1"/>
  <c r="B32" i="1"/>
  <c r="B31" i="1"/>
  <c r="B29" i="1"/>
  <c r="F24" i="1"/>
  <c r="D24" i="1"/>
  <c r="D23" i="1"/>
  <c r="D25" i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E33" i="1" l="1"/>
  <c r="C33" i="1"/>
  <c r="E32" i="1"/>
  <c r="C32" i="1"/>
  <c r="E31" i="1"/>
  <c r="C31" i="1"/>
</calcChain>
</file>

<file path=xl/sharedStrings.xml><?xml version="1.0" encoding="utf-8"?>
<sst xmlns="http://schemas.openxmlformats.org/spreadsheetml/2006/main" count="37" uniqueCount="36">
  <si>
    <t>原価チェッカー</t>
  </si>
  <si>
    <t>仕入れ高（円）</t>
  </si>
  <si>
    <t>入力</t>
  </si>
  <si>
    <t>自動計算</t>
  </si>
  <si>
    <t>商品名</t>
  </si>
  <si>
    <t>販売価格
（円）</t>
  </si>
  <si>
    <t>売上点数
（個）</t>
  </si>
  <si>
    <t>理想原価率
（%）</t>
  </si>
  <si>
    <t>商品別売上
（円）</t>
  </si>
  <si>
    <t>理想原価/個
（円）</t>
  </si>
  <si>
    <t>理想原価計
（円）</t>
  </si>
  <si>
    <t>← 水色：入力</t>
  </si>
  <si>
    <t>← 自動</t>
  </si>
  <si>
    <t>a</t>
  </si>
  <si>
    <t>b</t>
  </si>
  <si>
    <t>c</t>
  </si>
  <si>
    <t>d</t>
  </si>
  <si>
    <t>e</t>
  </si>
  <si>
    <t>f</t>
  </si>
  <si>
    <t>g</t>
  </si>
  <si>
    <t>合　計</t>
  </si>
  <si>
    <t>""</t>
  </si>
  <si>
    <t>■ サマリー</t>
  </si>
  <si>
    <t>総売上</t>
  </si>
  <si>
    <t>仕入れ高</t>
  </si>
  <si>
    <t>実際原価率</t>
  </si>
  <si>
    <t>理想原価総和</t>
  </si>
  <si>
    <t>差異</t>
  </si>
  <si>
    <t>差異率（対売上）</t>
  </si>
  <si>
    <t>■ ロス候補（推定）</t>
  </si>
  <si>
    <t>順位</t>
  </si>
  <si>
    <t>推定ロス寄与（円）</t>
  </si>
  <si>
    <t>メモ</t>
  </si>
  <si>
    <t>・推定ロス寄与 = 差異 × (商品の理想原価計 ÷ 理想原価総和) × リスク補正</t>
  </si>
  <si>
    <t>・リスク補正は「単品コストの高さ・仕込み量・コスト率」の3軸を内部スコア化して算出</t>
  </si>
  <si>
    <t>・あくまで推定値です。候補商品に共通する食材・仕込み手順を現場で確認してください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</si>
</sst>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円&quot;"/>
    <numFmt numFmtId="177" formatCode="0.0%"/>
  </numFmts>
  <fonts count="25">
    <font>
      <sz val="11"/>
      <color theme="1"/>
      <name val="Calibri"/>
      <scheme val="minor"/>
    </font>
    <font>
      <b/>
      <sz val="16"/>
      <color rgb="FFFFFFFF"/>
      <name val="Yu Gothic"/>
    </font>
    <font>
      <sz val="11"/>
      <name val="Calibri"/>
    </font>
    <font>
      <b/>
      <sz val="11"/>
      <color rgb="FFFFFFFF"/>
      <name val="Yu Gothic"/>
    </font>
    <font>
      <b/>
      <sz val="14"/>
      <color theme="1"/>
      <name val="Arial"/>
    </font>
    <font>
      <sz val="9"/>
      <color rgb="FF888888"/>
      <name val="Yu Gothic"/>
    </font>
    <font>
      <b/>
      <sz val="9"/>
      <color rgb="FFFFFFFF"/>
      <name val="Yu Gothic"/>
    </font>
    <font>
      <sz val="8"/>
      <color rgb="FF1A5276"/>
      <name val="Yu Gothic"/>
    </font>
    <font>
      <sz val="8"/>
      <color rgb="FF555555"/>
      <name val="Yu Gothic"/>
    </font>
    <font>
      <sz val="10"/>
      <color rgb="FF2C3E50"/>
      <name val="Arial"/>
    </font>
    <font>
      <sz val="10"/>
      <color theme="1"/>
      <name val="Yu Gothic"/>
    </font>
    <font>
      <sz val="9"/>
      <color theme="1"/>
      <name val="Calibri"/>
      <scheme val="minor"/>
    </font>
    <font>
      <sz val="10"/>
      <color rgb="FF2C3E50"/>
      <name val="Yu Gothic"/>
    </font>
    <font>
      <b/>
      <sz val="10"/>
      <color rgb="FF2C3E50"/>
      <name val="Yu Gothic"/>
    </font>
    <font>
      <b/>
      <sz val="11"/>
      <color theme="1"/>
      <name val="Yu Gothic"/>
    </font>
    <font>
      <b/>
      <sz val="10"/>
      <color rgb="FFFFFFFF"/>
      <name val="Yu Gothic"/>
    </font>
    <font>
      <b/>
      <sz val="13"/>
      <color theme="1"/>
      <name val="Yu Gothic"/>
    </font>
    <font>
      <sz val="9"/>
      <color theme="1"/>
      <name val="Yu Gothic"/>
    </font>
    <font>
      <b/>
      <sz val="12"/>
      <color rgb="FFFFFFFF"/>
      <name val="Arial"/>
    </font>
    <font>
      <b/>
      <sz val="11"/>
      <color rgb="FF27AE60"/>
      <name val="Yu Gothic"/>
    </font>
    <font>
      <b/>
      <sz val="11"/>
      <color rgb="FF6C3483"/>
      <name val="Yu Gothic"/>
    </font>
    <font>
      <b/>
      <sz val="12"/>
      <color theme="1"/>
      <name val="Yu Gothic"/>
    </font>
    <font>
      <b/>
      <sz val="12"/>
      <color rgb="FF8E44AD"/>
      <name val="Yu Gothic"/>
    </font>
    <font>
      <b/>
      <sz val="9"/>
      <color rgb="FF555555"/>
      <name val="Yu Gothic"/>
    </font>
    <font>
      <sz val="9"/>
      <color rgb="FF555555"/>
      <name val="Yu Gothic"/>
    </font>
  </fonts>
  <fills count="1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2980B9"/>
        <bgColor rgb="FF2980B9"/>
      </patternFill>
    </fill>
    <fill>
      <patternFill patternType="solid">
        <fgColor rgb="FFEBF5FB"/>
        <bgColor rgb="FFEBF5FB"/>
      </patternFill>
    </fill>
    <fill>
      <patternFill patternType="solid">
        <fgColor rgb="FF7F8C8D"/>
        <bgColor rgb="FF7F8C8D"/>
      </patternFill>
    </fill>
    <fill>
      <patternFill patternType="solid">
        <fgColor rgb="FFF4F6F7"/>
        <bgColor rgb="FFF4F6F7"/>
      </patternFill>
    </fill>
    <fill>
      <patternFill patternType="solid">
        <fgColor rgb="FFD5D8DC"/>
        <bgColor rgb="FFD5D8DC"/>
      </patternFill>
    </fill>
    <fill>
      <patternFill patternType="solid">
        <fgColor rgb="FF1ABC9C"/>
        <bgColor rgb="FF1ABC9C"/>
      </patternFill>
    </fill>
    <fill>
      <patternFill patternType="solid">
        <fgColor rgb="FFFADBD8"/>
        <bgColor rgb="FFFADBD8"/>
      </patternFill>
    </fill>
    <fill>
      <patternFill patternType="solid">
        <fgColor rgb="FF8E44AD"/>
        <bgColor rgb="FF8E44AD"/>
      </patternFill>
    </fill>
    <fill>
      <patternFill patternType="solid">
        <fgColor rgb="FF6C3483"/>
        <bgColor rgb="FF6C3483"/>
      </patternFill>
    </fill>
    <fill>
      <patternFill patternType="solid">
        <fgColor rgb="FFF9F0FF"/>
        <bgColor rgb="FFF9F0FF"/>
      </patternFill>
    </fill>
    <fill>
      <patternFill patternType="solid">
        <fgColor rgb="FFF8F9FA"/>
        <bgColor rgb="FFF8F9FA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1ABC9C"/>
      </left>
      <right/>
      <top style="medium">
        <color rgb="FF1ABC9C"/>
      </top>
      <bottom style="medium">
        <color rgb="FF1ABC9C"/>
      </bottom>
      <diagonal/>
    </border>
    <border>
      <left/>
      <right style="medium">
        <color rgb="FF1ABC9C"/>
      </right>
      <top style="medium">
        <color rgb="FF1ABC9C"/>
      </top>
      <bottom style="medium">
        <color rgb="FF1ABC9C"/>
      </bottom>
      <diagonal/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2C3E50"/>
      </left>
      <right/>
      <top style="thin">
        <color rgb="FF2C3E50"/>
      </top>
      <bottom style="thin">
        <color rgb="FF2C3E50"/>
      </bottom>
      <diagonal/>
    </border>
    <border>
      <left/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6C3483"/>
      </left>
      <right/>
      <top style="thin">
        <color rgb="FF6C3483"/>
      </top>
      <bottom style="thin">
        <color rgb="FF6C3483"/>
      </bottom>
      <diagonal/>
    </border>
    <border>
      <left/>
      <right style="thin">
        <color rgb="FF6C3483"/>
      </right>
      <top style="thin">
        <color rgb="FF6C3483"/>
      </top>
      <bottom style="thin">
        <color rgb="FF6C3483"/>
      </bottom>
      <diagonal/>
    </border>
    <border>
      <left/>
      <right/>
      <top style="thin">
        <color rgb="FF6C3483"/>
      </top>
      <bottom style="thin">
        <color rgb="FF6C3483"/>
      </bottom>
      <diagonal/>
    </border>
    <border>
      <left style="thin">
        <color rgb="FF9B59B6"/>
      </left>
      <right style="thin">
        <color rgb="FF9B59B6"/>
      </right>
      <top style="thin">
        <color rgb="FF9B59B6"/>
      </top>
      <bottom style="thin">
        <color rgb="FF9B59B6"/>
      </bottom>
      <diagonal/>
    </border>
    <border>
      <left style="thin">
        <color rgb="FF9B59B6"/>
      </left>
      <right/>
      <top style="thin">
        <color rgb="FF9B59B6"/>
      </top>
      <bottom style="thin">
        <color rgb="FF9B59B6"/>
      </bottom>
      <diagonal/>
    </border>
    <border>
      <left/>
      <right style="thin">
        <color rgb="FF9B59B6"/>
      </right>
      <top style="thin">
        <color rgb="FF9B59B6"/>
      </top>
      <bottom style="thin">
        <color rgb="FF9B59B6"/>
      </bottom>
      <diagonal/>
    </border>
    <border>
      <left/>
      <right/>
      <top style="thin">
        <color rgb="FF9B59B6"/>
      </top>
      <bottom style="thin">
        <color rgb="FF9B59B6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6" fillId="3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9" fontId="9" fillId="4" borderId="4" xfId="0" applyNumberFormat="1" applyFont="1" applyFill="1" applyBorder="1" applyAlignment="1">
      <alignment horizontal="right" vertical="center"/>
    </xf>
    <xf numFmtId="3" fontId="10" fillId="6" borderId="6" xfId="0" applyNumberFormat="1" applyFont="1" applyFill="1" applyBorder="1" applyAlignment="1">
      <alignment horizontal="right" vertical="center"/>
    </xf>
    <xf numFmtId="0" fontId="11" fillId="0" borderId="0" xfId="0" applyFont="1"/>
    <xf numFmtId="0" fontId="12" fillId="4" borderId="4" xfId="0" applyFont="1" applyFill="1" applyBorder="1" applyAlignment="1">
      <alignment horizontal="left" vertical="center"/>
    </xf>
    <xf numFmtId="3" fontId="12" fillId="4" borderId="4" xfId="0" applyNumberFormat="1" applyFont="1" applyFill="1" applyBorder="1" applyAlignment="1">
      <alignment horizontal="right" vertical="center"/>
    </xf>
    <xf numFmtId="9" fontId="12" fillId="4" borderId="4" xfId="0" applyNumberFormat="1" applyFont="1" applyFill="1" applyBorder="1" applyAlignment="1">
      <alignment horizontal="right" vertical="center"/>
    </xf>
    <xf numFmtId="3" fontId="14" fillId="7" borderId="6" xfId="0" applyNumberFormat="1" applyFont="1" applyFill="1" applyBorder="1" applyAlignment="1">
      <alignment horizontal="right" vertical="center"/>
    </xf>
    <xf numFmtId="0" fontId="14" fillId="7" borderId="6" xfId="0" applyFont="1" applyFill="1" applyBorder="1" applyAlignment="1">
      <alignment horizontal="right" vertical="center"/>
    </xf>
    <xf numFmtId="0" fontId="6" fillId="11" borderId="11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0" fillId="0" borderId="0" xfId="0" applyFont="1" applyAlignment="1"/>
    <xf numFmtId="0" fontId="24" fillId="13" borderId="1" xfId="0" applyFont="1" applyFill="1" applyBorder="1" applyAlignment="1">
      <alignment horizontal="left" vertical="center"/>
    </xf>
    <xf numFmtId="0" fontId="2" fillId="0" borderId="1" xfId="0" applyFont="1" applyBorder="1" applyAlignment="1"/>
    <xf numFmtId="0" fontId="21" fillId="12" borderId="16" xfId="0" applyFont="1" applyFill="1" applyBorder="1" applyAlignment="1">
      <alignment horizontal="left" vertical="center"/>
    </xf>
    <xf numFmtId="0" fontId="2" fillId="0" borderId="17" xfId="0" applyFont="1" applyBorder="1" applyAlignment="1"/>
    <xf numFmtId="176" fontId="22" fillId="12" borderId="16" xfId="0" applyNumberFormat="1" applyFont="1" applyFill="1" applyBorder="1" applyAlignment="1">
      <alignment horizontal="right" vertical="center"/>
    </xf>
    <xf numFmtId="0" fontId="2" fillId="0" borderId="18" xfId="0" applyFont="1" applyBorder="1" applyAlignment="1"/>
    <xf numFmtId="0" fontId="23" fillId="13" borderId="1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center"/>
    </xf>
    <xf numFmtId="0" fontId="2" fillId="0" borderId="8" xfId="0" applyFont="1" applyBorder="1" applyAlignment="1"/>
    <xf numFmtId="177" fontId="16" fillId="9" borderId="9" xfId="0" applyNumberFormat="1" applyFont="1" applyFill="1" applyBorder="1" applyAlignment="1">
      <alignment horizontal="right" vertical="center"/>
    </xf>
    <xf numFmtId="0" fontId="2" fillId="0" borderId="10" xfId="0" applyFont="1" applyBorder="1" applyAlignment="1"/>
    <xf numFmtId="0" fontId="18" fillId="10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Font="1" applyAlignment="1"/>
    <xf numFmtId="0" fontId="6" fillId="11" borderId="12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176" fontId="16" fillId="6" borderId="9" xfId="0" applyNumberFormat="1" applyFont="1" applyFill="1" applyBorder="1" applyAlignment="1">
      <alignment horizontal="right" vertical="center"/>
    </xf>
    <xf numFmtId="176" fontId="16" fillId="9" borderId="9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177" fontId="16" fillId="6" borderId="9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right" vertical="center"/>
    </xf>
    <xf numFmtId="0" fontId="2" fillId="0" borderId="3" xfId="0" applyFont="1" applyBorder="1" applyAlignment="1"/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showGridLines="0" tabSelected="1" workbookViewId="0">
      <selection activeCell="D5" sqref="D5"/>
    </sheetView>
  </sheetViews>
  <sheetFormatPr defaultColWidth="14.42578125" defaultRowHeight="15" customHeight="1"/>
  <cols>
    <col min="1" max="1" width="2" customWidth="1"/>
    <col min="2" max="2" width="20" customWidth="1"/>
    <col min="3" max="3" width="13" customWidth="1"/>
    <col min="4" max="5" width="12" customWidth="1"/>
    <col min="6" max="8" width="14" customWidth="1"/>
    <col min="9" max="14" width="1" hidden="1" customWidth="1"/>
    <col min="15" max="26" width="8.7109375" customWidth="1"/>
  </cols>
  <sheetData>
    <row r="1" spans="1:14" ht="19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3.75" customHeight="1">
      <c r="A2" s="41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9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30" customHeight="1">
      <c r="A4" s="15"/>
      <c r="B4" s="42" t="s">
        <v>1</v>
      </c>
      <c r="C4" s="17"/>
      <c r="D4" s="43">
        <v>168840</v>
      </c>
      <c r="E4" s="44"/>
      <c r="F4" s="45"/>
      <c r="G4" s="29"/>
      <c r="H4" s="29"/>
      <c r="I4" s="15"/>
      <c r="J4" s="15"/>
      <c r="K4" s="15"/>
      <c r="L4" s="15"/>
      <c r="M4" s="15"/>
      <c r="N4" s="15"/>
    </row>
    <row r="5" spans="1:14" ht="19.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3.5" customHeight="1">
      <c r="A6" s="15"/>
      <c r="B6" s="46" t="s">
        <v>2</v>
      </c>
      <c r="C6" s="17"/>
      <c r="D6" s="17"/>
      <c r="E6" s="17"/>
      <c r="F6" s="47" t="s">
        <v>3</v>
      </c>
      <c r="G6" s="17"/>
      <c r="H6" s="17"/>
      <c r="I6" s="15"/>
      <c r="J6" s="15"/>
      <c r="K6" s="15"/>
      <c r="L6" s="15"/>
      <c r="M6" s="15"/>
      <c r="N6" s="15"/>
    </row>
    <row r="7" spans="1:14" ht="37.5" customHeight="1">
      <c r="A7" s="15"/>
      <c r="B7" s="1" t="s">
        <v>4</v>
      </c>
      <c r="C7" s="1" t="s">
        <v>5</v>
      </c>
      <c r="D7" s="1" t="s">
        <v>6</v>
      </c>
      <c r="E7" s="1" t="s">
        <v>7</v>
      </c>
      <c r="F7" s="2" t="s">
        <v>8</v>
      </c>
      <c r="G7" s="2" t="s">
        <v>9</v>
      </c>
      <c r="H7" s="2" t="s">
        <v>10</v>
      </c>
      <c r="I7" s="15"/>
      <c r="J7" s="15"/>
      <c r="K7" s="15"/>
      <c r="L7" s="15"/>
      <c r="M7" s="15"/>
      <c r="N7" s="15"/>
    </row>
    <row r="8" spans="1:14" ht="13.5" customHeight="1">
      <c r="A8" s="15"/>
      <c r="B8" s="38" t="s">
        <v>11</v>
      </c>
      <c r="C8" s="17"/>
      <c r="D8" s="17"/>
      <c r="E8" s="17"/>
      <c r="F8" s="37" t="s">
        <v>12</v>
      </c>
      <c r="G8" s="17"/>
      <c r="H8" s="17"/>
      <c r="I8" s="15"/>
      <c r="J8" s="15"/>
      <c r="K8" s="15"/>
      <c r="L8" s="15"/>
      <c r="M8" s="15"/>
      <c r="N8" s="15"/>
    </row>
    <row r="9" spans="1:14" ht="24" customHeight="1">
      <c r="A9" s="15"/>
      <c r="B9" s="3" t="s">
        <v>13</v>
      </c>
      <c r="C9" s="4">
        <v>800</v>
      </c>
      <c r="D9" s="4">
        <v>100</v>
      </c>
      <c r="E9" s="5">
        <v>0.3</v>
      </c>
      <c r="F9" s="6">
        <f t="shared" ref="F9:F16" si="0">IF(OR(C9=0,D9=0),"",C9*D9)</f>
        <v>80000</v>
      </c>
      <c r="G9" s="6">
        <f t="shared" ref="G9:G16" si="1">IF(OR(C9=0,E9=0),"",C9*E9)</f>
        <v>240</v>
      </c>
      <c r="H9" s="6">
        <f t="shared" ref="H9:H16" si="2">IF(OR(G9="",D9=0),"",G9*D9)</f>
        <v>24000</v>
      </c>
      <c r="I9" s="7">
        <f t="shared" ref="I9:I16" si="3">IF(G9="",0,IF(G9&gt;=IFERROR(PERCENTILE($G$9:$G$16,0.67),0),3,IF(G9&gt;=IFERROR(PERCENTILE($G$9:$G$16,0.33),0),2,1)))</f>
        <v>2</v>
      </c>
      <c r="J9" s="7">
        <f t="shared" ref="J9:J16" si="4">IF(D9=0,0,IF(D9&gt;=IFERROR(PERCENTILE($D$9:$D$16,0.67),0),3,IF(D9&gt;=IFERROR(PERCENTILE($D$9:$D$16,0.33),0),2,1)))</f>
        <v>2</v>
      </c>
      <c r="K9" s="7">
        <f t="shared" ref="K9:K16" si="5">IF(E9=0,0,IF(E9&gt;=0.35,3,IF(E9&gt;=0.25,2,1)))</f>
        <v>2</v>
      </c>
      <c r="L9" s="7">
        <f t="shared" ref="L9:L16" si="6">IF(H9="",0,(I9+J9+K9)/9)</f>
        <v>0.66666666666666663</v>
      </c>
      <c r="M9" s="7">
        <f>IF(OR(H9="",H17=0,D4-H17&lt;=0),"",(D4-H17)*(H9/H17))</f>
        <v>3638.6653107099078</v>
      </c>
      <c r="N9" s="7">
        <f t="shared" ref="N9:N16" si="7">IF(M9="",0,M9*(1+L9))</f>
        <v>6064.4421845165125</v>
      </c>
    </row>
    <row r="10" spans="1:14" ht="24" customHeight="1">
      <c r="A10" s="15"/>
      <c r="B10" s="3" t="s">
        <v>14</v>
      </c>
      <c r="C10" s="4">
        <v>1500</v>
      </c>
      <c r="D10" s="4">
        <v>50</v>
      </c>
      <c r="E10" s="5">
        <v>0.38</v>
      </c>
      <c r="F10" s="6">
        <f t="shared" si="0"/>
        <v>75000</v>
      </c>
      <c r="G10" s="6">
        <f t="shared" si="1"/>
        <v>570</v>
      </c>
      <c r="H10" s="6">
        <f t="shared" si="2"/>
        <v>28500</v>
      </c>
      <c r="I10" s="7">
        <f t="shared" si="3"/>
        <v>3</v>
      </c>
      <c r="J10" s="7">
        <f t="shared" si="4"/>
        <v>1</v>
      </c>
      <c r="K10" s="7">
        <f t="shared" si="5"/>
        <v>3</v>
      </c>
      <c r="L10" s="7">
        <f t="shared" si="6"/>
        <v>0.77777777777777779</v>
      </c>
      <c r="M10" s="7">
        <f>IF(OR(H10="",H17=0,D4-H17&lt;=0),"",(D4-H17)*(H10/H17))</f>
        <v>3265.3510320777714</v>
      </c>
      <c r="N10" s="7">
        <f t="shared" si="7"/>
        <v>5805.0685014715937</v>
      </c>
    </row>
    <row r="11" spans="1:14" ht="24" customHeight="1">
      <c r="A11" s="15"/>
      <c r="B11" s="3" t="s">
        <v>15</v>
      </c>
      <c r="C11" s="4">
        <v>500</v>
      </c>
      <c r="D11" s="4">
        <v>180</v>
      </c>
      <c r="E11" s="5">
        <v>0.25</v>
      </c>
      <c r="F11" s="6">
        <f t="shared" si="0"/>
        <v>90000</v>
      </c>
      <c r="G11" s="6">
        <f t="shared" si="1"/>
        <v>125</v>
      </c>
      <c r="H11" s="6">
        <f t="shared" si="2"/>
        <v>22500</v>
      </c>
      <c r="I11" s="7">
        <f t="shared" si="3"/>
        <v>2</v>
      </c>
      <c r="J11" s="7">
        <f t="shared" si="4"/>
        <v>3</v>
      </c>
      <c r="K11" s="7">
        <f t="shared" si="5"/>
        <v>2</v>
      </c>
      <c r="L11" s="7">
        <f t="shared" si="6"/>
        <v>0.77777777777777779</v>
      </c>
      <c r="M11" s="7">
        <f>IF(OR(H11="",H17=0,D4-H17&lt;=0),"",(D4-H17)*(H11/H17))</f>
        <v>4735.5017775710267</v>
      </c>
      <c r="N11" s="7">
        <f t="shared" si="7"/>
        <v>8418.6698267929351</v>
      </c>
    </row>
    <row r="12" spans="1:14" ht="24" customHeight="1">
      <c r="A12" s="15"/>
      <c r="B12" s="3" t="s">
        <v>16</v>
      </c>
      <c r="C12" s="4">
        <v>900</v>
      </c>
      <c r="D12" s="4">
        <v>80</v>
      </c>
      <c r="E12" s="5">
        <v>0.33</v>
      </c>
      <c r="F12" s="6">
        <f t="shared" si="0"/>
        <v>72000</v>
      </c>
      <c r="G12" s="6">
        <f t="shared" si="1"/>
        <v>297</v>
      </c>
      <c r="H12" s="6">
        <f t="shared" si="2"/>
        <v>23760</v>
      </c>
      <c r="I12" s="7">
        <f t="shared" si="3"/>
        <v>3</v>
      </c>
      <c r="J12" s="7">
        <f t="shared" si="4"/>
        <v>2</v>
      </c>
      <c r="K12" s="7">
        <f t="shared" si="5"/>
        <v>2</v>
      </c>
      <c r="L12" s="7">
        <f t="shared" si="6"/>
        <v>0.77777777777777779</v>
      </c>
      <c r="M12" s="7">
        <f>IF(OR(H12="",H17=0,D4-H17&lt;=0),"",(D4-H17)*(H12/H17))</f>
        <v>3310.5591454076871</v>
      </c>
      <c r="N12" s="7">
        <f t="shared" si="7"/>
        <v>5885.438480724777</v>
      </c>
    </row>
    <row r="13" spans="1:14" ht="24" customHeight="1">
      <c r="A13" s="15"/>
      <c r="B13" s="3" t="s">
        <v>17</v>
      </c>
      <c r="C13" s="4">
        <v>200</v>
      </c>
      <c r="D13" s="4">
        <v>220</v>
      </c>
      <c r="E13" s="5">
        <v>0.28000000000000003</v>
      </c>
      <c r="F13" s="6">
        <f t="shared" si="0"/>
        <v>44000</v>
      </c>
      <c r="G13" s="6">
        <f t="shared" si="1"/>
        <v>56.000000000000007</v>
      </c>
      <c r="H13" s="6">
        <f t="shared" si="2"/>
        <v>12320.000000000002</v>
      </c>
      <c r="I13" s="7">
        <f t="shared" si="3"/>
        <v>1</v>
      </c>
      <c r="J13" s="7">
        <f t="shared" si="4"/>
        <v>3</v>
      </c>
      <c r="K13" s="7">
        <f t="shared" si="5"/>
        <v>2</v>
      </c>
      <c r="L13" s="7">
        <f t="shared" si="6"/>
        <v>0.66666666666666663</v>
      </c>
      <c r="M13" s="7">
        <f>IF(OR(H13="",H17=0,D4-H17&lt;=0),"",(D4-H17)*(H13/H17))</f>
        <v>4457.4985993351511</v>
      </c>
      <c r="N13" s="7">
        <f t="shared" si="7"/>
        <v>7429.1643322252512</v>
      </c>
    </row>
    <row r="14" spans="1:14" ht="24" customHeight="1">
      <c r="A14" s="15"/>
      <c r="B14" s="3" t="s">
        <v>18</v>
      </c>
      <c r="C14" s="4">
        <v>700</v>
      </c>
      <c r="D14" s="4">
        <v>130</v>
      </c>
      <c r="E14" s="5">
        <v>0.3</v>
      </c>
      <c r="F14" s="6">
        <f t="shared" si="0"/>
        <v>91000</v>
      </c>
      <c r="G14" s="6">
        <f t="shared" si="1"/>
        <v>210</v>
      </c>
      <c r="H14" s="6">
        <f t="shared" si="2"/>
        <v>27300</v>
      </c>
      <c r="I14" s="7">
        <f t="shared" si="3"/>
        <v>2</v>
      </c>
      <c r="J14" s="7">
        <f t="shared" si="4"/>
        <v>2</v>
      </c>
      <c r="K14" s="7">
        <f t="shared" si="5"/>
        <v>2</v>
      </c>
      <c r="L14" s="7">
        <f t="shared" si="6"/>
        <v>0.66666666666666663</v>
      </c>
      <c r="M14" s="7">
        <f>IF(OR(H14="",H17=0,D4-H17&lt;=0),"",(D4-H17)*(H14/H17))</f>
        <v>4388.4787421520332</v>
      </c>
      <c r="N14" s="7">
        <f t="shared" si="7"/>
        <v>7314.131236920055</v>
      </c>
    </row>
    <row r="15" spans="1:14" ht="24" customHeight="1">
      <c r="A15" s="15"/>
      <c r="B15" s="3" t="s">
        <v>19</v>
      </c>
      <c r="C15" s="4">
        <v>400</v>
      </c>
      <c r="D15" s="4">
        <v>60</v>
      </c>
      <c r="E15" s="5">
        <v>0.22</v>
      </c>
      <c r="F15" s="6">
        <f t="shared" si="0"/>
        <v>24000</v>
      </c>
      <c r="G15" s="6">
        <f t="shared" si="1"/>
        <v>88</v>
      </c>
      <c r="H15" s="6">
        <f t="shared" si="2"/>
        <v>5280</v>
      </c>
      <c r="I15" s="7">
        <f t="shared" si="3"/>
        <v>1</v>
      </c>
      <c r="J15" s="7">
        <f t="shared" si="4"/>
        <v>1</v>
      </c>
      <c r="K15" s="7">
        <f t="shared" si="5"/>
        <v>1</v>
      </c>
      <c r="L15" s="7">
        <f t="shared" si="6"/>
        <v>0.33333333333333331</v>
      </c>
      <c r="M15" s="7">
        <f>IF(OR(H15="",H17=0,D4-H17&lt;=0),"",(D4-H17)*(H15/H17))</f>
        <v>1383.9453927464235</v>
      </c>
      <c r="N15" s="7">
        <f t="shared" si="7"/>
        <v>1845.2605236618979</v>
      </c>
    </row>
    <row r="16" spans="1:14" ht="24" customHeight="1">
      <c r="A16" s="15"/>
      <c r="B16" s="8"/>
      <c r="C16" s="9"/>
      <c r="D16" s="9"/>
      <c r="E16" s="10"/>
      <c r="F16" s="6" t="str">
        <f t="shared" si="0"/>
        <v/>
      </c>
      <c r="G16" s="6" t="str">
        <f t="shared" si="1"/>
        <v/>
      </c>
      <c r="H16" s="6" t="str">
        <f t="shared" si="2"/>
        <v/>
      </c>
      <c r="I16" s="7">
        <f t="shared" si="3"/>
        <v>0</v>
      </c>
      <c r="J16" s="7">
        <f t="shared" si="4"/>
        <v>0</v>
      </c>
      <c r="K16" s="7">
        <f t="shared" si="5"/>
        <v>0</v>
      </c>
      <c r="L16" s="7">
        <f t="shared" si="6"/>
        <v>0</v>
      </c>
      <c r="M16" s="7" t="str">
        <f>IF(OR(H16="",H17=0,D4-H17&lt;=0,SUM($D$9:$D$16)=0),"",(D4-H17)*((H16/H17+D16/SUM($D$9:$D$16))/2))</f>
        <v/>
      </c>
      <c r="N16" s="7">
        <f t="shared" si="7"/>
        <v>0</v>
      </c>
    </row>
    <row r="17" spans="2:8" ht="25.5" customHeight="1">
      <c r="B17" s="39" t="s">
        <v>20</v>
      </c>
      <c r="C17" s="17"/>
      <c r="D17" s="17"/>
      <c r="E17" s="17"/>
      <c r="F17" s="11">
        <f>SUM(F9:F16)</f>
        <v>476000</v>
      </c>
      <c r="G17" s="12" t="s">
        <v>21</v>
      </c>
      <c r="H17" s="11">
        <f>SUM(H9:H16)</f>
        <v>143660</v>
      </c>
    </row>
    <row r="18" spans="2:8" ht="19.5" customHeight="1">
      <c r="B18" s="15"/>
      <c r="C18" s="15"/>
      <c r="D18" s="15"/>
      <c r="E18" s="15"/>
      <c r="F18" s="15"/>
      <c r="G18" s="15"/>
      <c r="H18" s="15"/>
    </row>
    <row r="19" spans="2:8" ht="27.75" customHeight="1">
      <c r="B19" s="40" t="s">
        <v>22</v>
      </c>
      <c r="C19" s="17"/>
      <c r="D19" s="17"/>
      <c r="E19" s="17"/>
      <c r="F19" s="17"/>
      <c r="G19" s="17"/>
      <c r="H19" s="17"/>
    </row>
    <row r="20" spans="2:8" ht="25.5" customHeight="1">
      <c r="B20" s="23" t="s">
        <v>23</v>
      </c>
      <c r="C20" s="24"/>
      <c r="D20" s="33">
        <f>F17</f>
        <v>476000</v>
      </c>
      <c r="E20" s="26"/>
      <c r="F20" s="15"/>
      <c r="G20" s="15"/>
      <c r="H20" s="15"/>
    </row>
    <row r="21" spans="2:8" ht="25.5" customHeight="1">
      <c r="B21" s="23" t="s">
        <v>24</v>
      </c>
      <c r="C21" s="24"/>
      <c r="D21" s="33">
        <f>D4</f>
        <v>168840</v>
      </c>
      <c r="E21" s="26"/>
      <c r="F21" s="15"/>
      <c r="G21" s="15"/>
      <c r="H21" s="15"/>
    </row>
    <row r="22" spans="2:8" ht="25.5" customHeight="1">
      <c r="B22" s="23" t="s">
        <v>25</v>
      </c>
      <c r="C22" s="24"/>
      <c r="D22" s="36">
        <f>IF(F17=0,"",D4/F17)</f>
        <v>0.3547058823529412</v>
      </c>
      <c r="E22" s="26"/>
      <c r="F22" s="35" t="str">
        <f>IF(F17=0,"",IF(D4/F17&lt;=0.3,"✅ 30%以下（良好）",IF(D4/F17&lt;=0.35,"⚠ 30〜35%（要注意）","🔴 35%超（要改善）")))</f>
        <v>🔴 35%超（要改善）</v>
      </c>
      <c r="G22" s="29"/>
      <c r="H22" s="29"/>
    </row>
    <row r="23" spans="2:8" ht="25.5" customHeight="1">
      <c r="B23" s="23" t="s">
        <v>26</v>
      </c>
      <c r="C23" s="24"/>
      <c r="D23" s="33">
        <f>H17</f>
        <v>143660</v>
      </c>
      <c r="E23" s="26"/>
      <c r="F23" s="15"/>
      <c r="G23" s="15"/>
      <c r="H23" s="15"/>
    </row>
    <row r="24" spans="2:8" ht="25.5" customHeight="1">
      <c r="B24" s="23" t="s">
        <v>27</v>
      </c>
      <c r="C24" s="24"/>
      <c r="D24" s="34">
        <f>IF(OR(D4=0,H17=0),"",D4-H17)</f>
        <v>25180</v>
      </c>
      <c r="E24" s="26"/>
      <c r="F24" s="35" t="str">
        <f>IF(OR(D4=0,H17=0),"",IF(D4-H17&gt;0,"▲ 仕入れが理想より多い","✅ 仕入れが理想以内"))</f>
        <v>▲ 仕入れが理想より多い</v>
      </c>
      <c r="G24" s="29"/>
      <c r="H24" s="29"/>
    </row>
    <row r="25" spans="2:8" ht="25.5" customHeight="1">
      <c r="B25" s="23" t="s">
        <v>28</v>
      </c>
      <c r="C25" s="24"/>
      <c r="D25" s="25">
        <f>IF(OR(F17=0,H17=0),"",(D4-H17)/F17)</f>
        <v>5.2899159663865547E-2</v>
      </c>
      <c r="E25" s="26"/>
      <c r="F25" s="15"/>
      <c r="G25" s="15"/>
      <c r="H25" s="15"/>
    </row>
    <row r="26" spans="2:8" ht="19.5" customHeight="1">
      <c r="B26" s="15"/>
      <c r="C26" s="15"/>
      <c r="D26" s="15"/>
      <c r="E26" s="15"/>
      <c r="F26" s="15"/>
      <c r="G26" s="15"/>
      <c r="H26" s="15"/>
    </row>
    <row r="27" spans="2:8" ht="13.5" customHeight="1">
      <c r="B27" s="15"/>
      <c r="C27" s="15"/>
      <c r="D27" s="15"/>
      <c r="E27" s="15"/>
      <c r="F27" s="15"/>
      <c r="G27" s="15"/>
      <c r="H27" s="15"/>
    </row>
    <row r="28" spans="2:8" ht="30" customHeight="1">
      <c r="B28" s="27" t="s">
        <v>29</v>
      </c>
      <c r="C28" s="17"/>
      <c r="D28" s="17"/>
      <c r="E28" s="17"/>
      <c r="F28" s="17"/>
      <c r="G28" s="17"/>
      <c r="H28" s="17"/>
    </row>
    <row r="29" spans="2:8" ht="21.75" customHeight="1">
      <c r="B29" s="28" t="str">
        <f>IF(OR(D4=0,H17=0,D4-H17&lt;=0),"ロスなし（仕入れが理想以内です）","")</f>
        <v/>
      </c>
      <c r="C29" s="29"/>
      <c r="D29" s="29"/>
      <c r="E29" s="29"/>
      <c r="F29" s="29"/>
      <c r="G29" s="29"/>
      <c r="H29" s="29"/>
    </row>
    <row r="30" spans="2:8" ht="21.75" customHeight="1">
      <c r="B30" s="13" t="s">
        <v>30</v>
      </c>
      <c r="C30" s="30" t="s">
        <v>4</v>
      </c>
      <c r="D30" s="31"/>
      <c r="E30" s="30" t="s">
        <v>31</v>
      </c>
      <c r="F30" s="32"/>
      <c r="G30" s="32"/>
      <c r="H30" s="31"/>
    </row>
    <row r="31" spans="2:8" ht="25.5" customHeight="1">
      <c r="B31" s="14" t="str">
        <f>IF(OR(D4=0,H17=0,D4-H17&lt;=0),"","1位")</f>
        <v>1位</v>
      </c>
      <c r="C31" s="18" t="str">
        <f>IF(OR(D4=0,H17=0,D4-H17&lt;=0),"",IFERROR(INDEX($B$9:$B$16,MATCH(LARGE($N$9:$N$16,1),$N$9:$N$16,0)),"―"))</f>
        <v>c</v>
      </c>
      <c r="D31" s="19"/>
      <c r="E31" s="20">
        <f>IF(OR(D4=0,H17=0,D4-H17&lt;=0),"",IFERROR(INDEX($N$9:$N$16,MATCH(LARGE($N$9:$N$16,1),$N$9:$N$16,0)),"―"))</f>
        <v>8418.6698267929351</v>
      </c>
      <c r="F31" s="21"/>
      <c r="G31" s="21"/>
      <c r="H31" s="19"/>
    </row>
    <row r="32" spans="2:8" ht="25.5" customHeight="1">
      <c r="B32" s="14" t="str">
        <f>IF(OR(D4=0,H17=0,D4-H17&lt;=0),"","2位")</f>
        <v>2位</v>
      </c>
      <c r="C32" s="18" t="str">
        <f>IF(OR(D4=0,H17=0,D4-H17&lt;=0),"",IFERROR(INDEX($B$9:$B$16,MATCH(LARGE($N$9:$N$16,2),$N$9:$N$16,0)),"―"))</f>
        <v>e</v>
      </c>
      <c r="D32" s="19"/>
      <c r="E32" s="20">
        <f>IF(OR(D4=0,H17=0,D4-H17&lt;=0),"",IFERROR(INDEX($N$9:$N$16,MATCH(LARGE($N$9:$N$16,2),$N$9:$N$16,0)),"―"))</f>
        <v>7429.1643322252512</v>
      </c>
      <c r="F32" s="21"/>
      <c r="G32" s="21"/>
      <c r="H32" s="19"/>
    </row>
    <row r="33" spans="2:8" ht="25.5" customHeight="1">
      <c r="B33" s="14" t="str">
        <f>IF(OR(D4=0,H17=0,D4-H17&lt;=0),"","3位")</f>
        <v>3位</v>
      </c>
      <c r="C33" s="18" t="str">
        <f>IF(OR(D4=0,H17=0,D4-H17&lt;=0),"",IFERROR(INDEX($B$9:$B$16,MATCH(LARGE($N$9:$N$16,3),$N$9:$N$16,0)),"―"))</f>
        <v>f</v>
      </c>
      <c r="D33" s="19"/>
      <c r="E33" s="20">
        <f>IF(OR(D4=0,H17=0,D4-H17&lt;=0),"",IFERROR(INDEX($N$9:$N$16,MATCH(LARGE($N$9:$N$16,3),$N$9:$N$16,0)),"―"))</f>
        <v>7314.131236920055</v>
      </c>
      <c r="F33" s="21"/>
      <c r="G33" s="21"/>
      <c r="H33" s="19"/>
    </row>
    <row r="34" spans="2:8" ht="19.5" customHeight="1">
      <c r="B34" s="15"/>
      <c r="C34" s="15"/>
      <c r="D34" s="15"/>
      <c r="E34" s="15"/>
      <c r="F34" s="15"/>
      <c r="G34" s="15"/>
      <c r="H34" s="15"/>
    </row>
    <row r="35" spans="2:8" ht="13.5" customHeight="1">
      <c r="B35" s="15"/>
      <c r="C35" s="15"/>
      <c r="D35" s="15"/>
      <c r="E35" s="15"/>
      <c r="F35" s="15"/>
      <c r="G35" s="15"/>
      <c r="H35" s="15"/>
    </row>
    <row r="36" spans="2:8" ht="19.5" customHeight="1">
      <c r="B36" s="22" t="s">
        <v>32</v>
      </c>
      <c r="C36" s="17"/>
      <c r="D36" s="17"/>
      <c r="E36" s="17"/>
      <c r="F36" s="17"/>
      <c r="G36" s="17"/>
      <c r="H36" s="17"/>
    </row>
    <row r="37" spans="2:8" ht="18" customHeight="1">
      <c r="B37" s="16" t="s">
        <v>33</v>
      </c>
      <c r="C37" s="17"/>
      <c r="D37" s="17"/>
      <c r="E37" s="17"/>
      <c r="F37" s="17"/>
      <c r="G37" s="17"/>
      <c r="H37" s="17"/>
    </row>
    <row r="38" spans="2:8" ht="18" customHeight="1">
      <c r="B38" s="16" t="s">
        <v>34</v>
      </c>
      <c r="C38" s="17"/>
      <c r="D38" s="17"/>
      <c r="E38" s="17"/>
      <c r="F38" s="17"/>
      <c r="G38" s="17"/>
      <c r="H38" s="17"/>
    </row>
    <row r="39" spans="2:8" ht="18" customHeight="1">
      <c r="B39" s="16" t="s">
        <v>35</v>
      </c>
      <c r="C39" s="17"/>
      <c r="D39" s="17"/>
      <c r="E39" s="17"/>
      <c r="F39" s="17"/>
      <c r="G39" s="17"/>
      <c r="H39" s="17"/>
    </row>
    <row r="40" spans="2:8" ht="19.5" customHeight="1">
      <c r="B40" s="15"/>
      <c r="C40" s="15"/>
      <c r="D40" s="15"/>
      <c r="E40" s="15"/>
      <c r="F40" s="15"/>
      <c r="G40" s="15"/>
      <c r="H40" s="15"/>
    </row>
    <row r="41" spans="2:8" ht="19.5" customHeight="1">
      <c r="B41" s="15"/>
      <c r="C41" s="15"/>
      <c r="D41" s="15"/>
      <c r="E41" s="15"/>
      <c r="F41" s="15"/>
      <c r="G41" s="15"/>
      <c r="H41" s="15"/>
    </row>
    <row r="42" spans="2:8" ht="19.5" customHeight="1">
      <c r="B42" s="15"/>
      <c r="C42" s="15"/>
      <c r="D42" s="15"/>
      <c r="E42" s="15"/>
      <c r="F42" s="15"/>
      <c r="G42" s="15"/>
      <c r="H42" s="15"/>
    </row>
    <row r="43" spans="2:8" ht="19.5" customHeight="1">
      <c r="B43" s="15"/>
      <c r="C43" s="15"/>
      <c r="D43" s="15"/>
      <c r="E43" s="15"/>
      <c r="F43" s="15"/>
      <c r="G43" s="15"/>
      <c r="H43" s="15"/>
    </row>
    <row r="44" spans="2:8" ht="19.5" customHeight="1">
      <c r="B44" s="15"/>
      <c r="C44" s="15"/>
      <c r="D44" s="15"/>
      <c r="E44" s="15"/>
      <c r="F44" s="15"/>
      <c r="G44" s="15"/>
      <c r="H44" s="15"/>
    </row>
    <row r="45" spans="2:8" ht="19.5" customHeight="1">
      <c r="B45" s="15"/>
      <c r="C45" s="15"/>
      <c r="D45" s="15"/>
      <c r="E45" s="15"/>
      <c r="F45" s="15"/>
      <c r="G45" s="15"/>
      <c r="H45" s="15"/>
    </row>
    <row r="46" spans="2:8" ht="19.5" customHeight="1">
      <c r="B46" s="15"/>
      <c r="C46" s="15"/>
      <c r="D46" s="15"/>
      <c r="E46" s="15"/>
      <c r="F46" s="15"/>
      <c r="G46" s="15"/>
      <c r="H46" s="15"/>
    </row>
    <row r="47" spans="2:8" ht="19.5" customHeight="1">
      <c r="B47" s="15"/>
      <c r="C47" s="15"/>
      <c r="D47" s="15"/>
      <c r="E47" s="15"/>
      <c r="F47" s="15"/>
      <c r="G47" s="15"/>
      <c r="H47" s="15"/>
    </row>
    <row r="48" spans="2:8" ht="19.5" customHeight="1">
      <c r="B48" s="15"/>
      <c r="C48" s="15"/>
      <c r="D48" s="15"/>
      <c r="E48" s="15"/>
      <c r="F48" s="15"/>
      <c r="G48" s="15"/>
      <c r="H48" s="15"/>
    </row>
    <row r="49" ht="19.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N2"/>
    <mergeCell ref="B4:C4"/>
    <mergeCell ref="D4:E4"/>
    <mergeCell ref="F4:H4"/>
    <mergeCell ref="B6:E6"/>
    <mergeCell ref="F6:H6"/>
    <mergeCell ref="F8:H8"/>
    <mergeCell ref="B8:E8"/>
    <mergeCell ref="B17:E17"/>
    <mergeCell ref="B19:H19"/>
    <mergeCell ref="B20:C20"/>
    <mergeCell ref="D20:E20"/>
    <mergeCell ref="B21:C21"/>
    <mergeCell ref="D21:E21"/>
    <mergeCell ref="B22:C22"/>
    <mergeCell ref="D22:E22"/>
    <mergeCell ref="F22:H22"/>
    <mergeCell ref="B23:C23"/>
    <mergeCell ref="D23:E23"/>
    <mergeCell ref="D24:E24"/>
    <mergeCell ref="F24:H24"/>
    <mergeCell ref="B24:C24"/>
    <mergeCell ref="B25:C25"/>
    <mergeCell ref="D25:E25"/>
    <mergeCell ref="B28:H28"/>
    <mergeCell ref="B29:H29"/>
    <mergeCell ref="C30:D30"/>
    <mergeCell ref="E30:H30"/>
    <mergeCell ref="B37:H37"/>
    <mergeCell ref="B38:H38"/>
    <mergeCell ref="B39:H39"/>
    <mergeCell ref="C31:D31"/>
    <mergeCell ref="E31:H31"/>
    <mergeCell ref="C32:D32"/>
    <mergeCell ref="E32:H32"/>
    <mergeCell ref="C33:D33"/>
    <mergeCell ref="E33:H33"/>
    <mergeCell ref="B36:H3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匠 後藤</cp:lastModifiedBy>
  <cp:revision/>
  <dcterms:created xsi:type="dcterms:W3CDTF">2026-04-01T13:16:03Z</dcterms:created>
  <dcterms:modified xsi:type="dcterms:W3CDTF">2026-04-03T03:30:04Z</dcterms:modified>
  <cp:category/>
  <cp:contentStatus/>
</cp:coreProperties>
</file>